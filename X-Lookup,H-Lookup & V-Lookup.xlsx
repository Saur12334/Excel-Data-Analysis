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V,H &amp;X Lookup (1)" sheetId="1" r:id="rId1"/>
    <sheet name="V,H &amp; X Lookup (2)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'V,H &amp; X Lookup (2)'!$A$1:$M$14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<sst xmlns="http://schemas.openxmlformats.org/spreadsheetml/2006/main" count="281" uniqueCount="180">
  <si>
    <t>Name</t>
  </si>
  <si>
    <t>Class</t>
  </si>
  <si>
    <t>Marathi</t>
  </si>
  <si>
    <t>English</t>
  </si>
  <si>
    <t xml:space="preserve">Hindi </t>
  </si>
  <si>
    <t>Sanskrit</t>
  </si>
  <si>
    <t>Math</t>
  </si>
  <si>
    <t>Science</t>
  </si>
  <si>
    <t>Geography</t>
  </si>
  <si>
    <t>History</t>
  </si>
  <si>
    <t>Marks</t>
  </si>
  <si>
    <t>Vlookup</t>
  </si>
  <si>
    <t>Saurabh</t>
  </si>
  <si>
    <t xml:space="preserve">10th </t>
  </si>
  <si>
    <t>Total Marks</t>
  </si>
  <si>
    <t>Pratik</t>
  </si>
  <si>
    <t>Shubham</t>
  </si>
  <si>
    <t>Sakshant</t>
  </si>
  <si>
    <t>Yash</t>
  </si>
  <si>
    <t>Hlookup</t>
  </si>
  <si>
    <t>Akshay</t>
  </si>
  <si>
    <t>Subject</t>
  </si>
  <si>
    <t>Om</t>
  </si>
  <si>
    <t>Arya</t>
  </si>
  <si>
    <t>Xlookup</t>
  </si>
  <si>
    <t>Geography Marks</t>
  </si>
  <si>
    <t>Employee ID</t>
  </si>
  <si>
    <t>First Name</t>
  </si>
  <si>
    <t>Last Name</t>
  </si>
  <si>
    <t>Gender</t>
  </si>
  <si>
    <t>Department</t>
  </si>
  <si>
    <t>JobTitle</t>
  </si>
  <si>
    <t>Date of joining</t>
  </si>
  <si>
    <t>Salary</t>
  </si>
  <si>
    <t>Email</t>
  </si>
  <si>
    <t>Phone number</t>
  </si>
  <si>
    <t>City</t>
  </si>
  <si>
    <t>State</t>
  </si>
  <si>
    <t>Manager</t>
  </si>
  <si>
    <t>EMP001</t>
  </si>
  <si>
    <t>Amit</t>
  </si>
  <si>
    <t>Sharma</t>
  </si>
  <si>
    <t>Male</t>
  </si>
  <si>
    <t>HR</t>
  </si>
  <si>
    <t>HR Executive</t>
  </si>
  <si>
    <t>amit.sharma@company.com</t>
  </si>
  <si>
    <t>Akola</t>
  </si>
  <si>
    <t>Maharashtra</t>
  </si>
  <si>
    <t>Jibu Jacob</t>
  </si>
  <si>
    <t>EMP002</t>
  </si>
  <si>
    <t>Priya</t>
  </si>
  <si>
    <t>Verma</t>
  </si>
  <si>
    <t>Female</t>
  </si>
  <si>
    <t>Finance</t>
  </si>
  <si>
    <t>Accountant</t>
  </si>
  <si>
    <t>priya.verma@company.com</t>
  </si>
  <si>
    <t>Amravati</t>
  </si>
  <si>
    <t>Pratik Yeole</t>
  </si>
  <si>
    <t>EMP003</t>
  </si>
  <si>
    <t>Rahul</t>
  </si>
  <si>
    <t>Singh</t>
  </si>
  <si>
    <t>IT</t>
  </si>
  <si>
    <t>Software Engineer</t>
  </si>
  <si>
    <t>rahul.singh@company.com</t>
  </si>
  <si>
    <t>Nagpur</t>
  </si>
  <si>
    <t>Nikesh Lad</t>
  </si>
  <si>
    <t>EMP004</t>
  </si>
  <si>
    <t>Sneha</t>
  </si>
  <si>
    <t>Patel</t>
  </si>
  <si>
    <t>Marketing</t>
  </si>
  <si>
    <t>Marketing Executive</t>
  </si>
  <si>
    <t>sneha.patel@company.com</t>
  </si>
  <si>
    <t>Yavatmal</t>
  </si>
  <si>
    <t>Amar Harde</t>
  </si>
  <si>
    <t>EMP005</t>
  </si>
  <si>
    <t>Vikram</t>
  </si>
  <si>
    <t>Joshi</t>
  </si>
  <si>
    <t>Sales</t>
  </si>
  <si>
    <t>Sales Excecutive</t>
  </si>
  <si>
    <t>vikram.joshi@company.com</t>
  </si>
  <si>
    <t>Wardha</t>
  </si>
  <si>
    <t>Shubham Bonde</t>
  </si>
  <si>
    <t>EMP006</t>
  </si>
  <si>
    <t>Pooja</t>
  </si>
  <si>
    <t>Nair</t>
  </si>
  <si>
    <t>QA Enginner</t>
  </si>
  <si>
    <t>pooja.nair@company.com</t>
  </si>
  <si>
    <t xml:space="preserve">Kolhapur </t>
  </si>
  <si>
    <t>Ajay Maske</t>
  </si>
  <si>
    <t>EMP007</t>
  </si>
  <si>
    <t>Arjun</t>
  </si>
  <si>
    <t>Reddy</t>
  </si>
  <si>
    <t>Operations</t>
  </si>
  <si>
    <t>Financial Manager</t>
  </si>
  <si>
    <t>arjun.reddy@company.com</t>
  </si>
  <si>
    <t>Sangli</t>
  </si>
  <si>
    <t>Nikhil Wagh</t>
  </si>
  <si>
    <t>EMP008</t>
  </si>
  <si>
    <t>Meera</t>
  </si>
  <si>
    <t>Iyer</t>
  </si>
  <si>
    <t>Operations Manager</t>
  </si>
  <si>
    <t>meera.Iyer@company.com</t>
  </si>
  <si>
    <t>Satara</t>
  </si>
  <si>
    <t>Sameer Pande</t>
  </si>
  <si>
    <t>EMP009</t>
  </si>
  <si>
    <t>Karan</t>
  </si>
  <si>
    <t>Malhotra</t>
  </si>
  <si>
    <t>Financial Analyst</t>
  </si>
  <si>
    <t>karan.malhotra@company.com</t>
  </si>
  <si>
    <t>Dhule</t>
  </si>
  <si>
    <t>Om Bangare</t>
  </si>
  <si>
    <t>EMP010</t>
  </si>
  <si>
    <t>Anjali</t>
  </si>
  <si>
    <t>Desai</t>
  </si>
  <si>
    <t>System Administartor</t>
  </si>
  <si>
    <t>anjali.desai@company.com</t>
  </si>
  <si>
    <t>Parbhani</t>
  </si>
  <si>
    <t>Rushi Kharwade</t>
  </si>
  <si>
    <t>EMP011</t>
  </si>
  <si>
    <t>Jayesh</t>
  </si>
  <si>
    <t>Nagpure</t>
  </si>
  <si>
    <t>jayesh.nagpure@company.com</t>
  </si>
  <si>
    <t>Washim</t>
  </si>
  <si>
    <t>Amit Mokashi</t>
  </si>
  <si>
    <t>EMP012</t>
  </si>
  <si>
    <t>Suyesh</t>
  </si>
  <si>
    <t>Kakade</t>
  </si>
  <si>
    <t>suyesh.kakade@company.com</t>
  </si>
  <si>
    <t>Ratnagiri</t>
  </si>
  <si>
    <t>Ashray Gole</t>
  </si>
  <si>
    <t>EMP013</t>
  </si>
  <si>
    <t>Sandesh</t>
  </si>
  <si>
    <t>Ramteke</t>
  </si>
  <si>
    <t>sandesh.Ramteke@company.com</t>
  </si>
  <si>
    <t>Raigad</t>
  </si>
  <si>
    <t>Prem Thkare</t>
  </si>
  <si>
    <t>Employee Name</t>
  </si>
  <si>
    <t>Dept  &gt; &gt;</t>
  </si>
  <si>
    <t>For Vlookup</t>
  </si>
  <si>
    <t>Write the employee id</t>
  </si>
  <si>
    <t>,</t>
  </si>
  <si>
    <t xml:space="preserve">Phone Number </t>
  </si>
  <si>
    <t>DOJ</t>
  </si>
  <si>
    <t>For Hlookup</t>
  </si>
  <si>
    <t>For Xlookup</t>
  </si>
  <si>
    <t>Phone Number</t>
  </si>
  <si>
    <t>Index :-</t>
  </si>
  <si>
    <t>Match :-</t>
  </si>
  <si>
    <t>Index &amp; Match :-</t>
  </si>
  <si>
    <t>Product</t>
  </si>
  <si>
    <t>January</t>
  </si>
  <si>
    <t>February</t>
  </si>
  <si>
    <t>March</t>
  </si>
  <si>
    <t>April</t>
  </si>
  <si>
    <t>iPhones S24</t>
  </si>
  <si>
    <t>One Plus 12</t>
  </si>
  <si>
    <t xml:space="preserve">MacBook Air </t>
  </si>
  <si>
    <t>AirPods Pro</t>
  </si>
  <si>
    <t>Power Bank</t>
  </si>
  <si>
    <t>Xiaomi 14</t>
  </si>
  <si>
    <t xml:space="preserve">Google Pixel 8 </t>
  </si>
  <si>
    <t>Boat Speaker</t>
  </si>
  <si>
    <t>$12,000</t>
  </si>
  <si>
    <t>$95,000</t>
  </si>
  <si>
    <t>$80,000</t>
  </si>
  <si>
    <t>$60,000</t>
  </si>
  <si>
    <t>$1,50,000</t>
  </si>
  <si>
    <t>$20,000</t>
  </si>
  <si>
    <t>$98760</t>
  </si>
  <si>
    <t>$32890</t>
  </si>
  <si>
    <t>EMP ID</t>
  </si>
  <si>
    <t>E101</t>
  </si>
  <si>
    <t>E102</t>
  </si>
  <si>
    <t>E103</t>
  </si>
  <si>
    <t>E104</t>
  </si>
  <si>
    <t>E105</t>
  </si>
  <si>
    <t>Rakesh</t>
  </si>
  <si>
    <t>Rajesh</t>
  </si>
  <si>
    <t>Ramesh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</si>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</sst>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  <numFmt numFmtId="182" formatCode="[$-809]dd\ mmmm\ yyyy;@"/>
    <numFmt numFmtId="183" formatCode="0_);[Red]\(0\)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7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80" fontId="0" fillId="6" borderId="1" xfId="0" applyNumberFormat="1" applyFill="1" applyBorder="1" applyAlignment="1">
      <alignment horizontal="center" vertical="center"/>
    </xf>
    <xf numFmtId="0" fontId="1" fillId="6" borderId="1" xfId="6" applyFill="1" applyBorder="1" applyAlignment="1">
      <alignment horizontal="center" vertical="center"/>
    </xf>
    <xf numFmtId="0" fontId="0" fillId="6" borderId="1" xfId="0" applyFill="1" applyBorder="1"/>
    <xf numFmtId="18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0" xfId="0" applyAlignment="1"/>
    <xf numFmtId="0" fontId="1" fillId="0" borderId="0" xfId="6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1" xfId="0" applyFill="1" applyBorder="1"/>
    <xf numFmtId="181" fontId="0" fillId="0" borderId="0" xfId="0" applyNumberFormat="1"/>
    <xf numFmtId="182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83" fontId="0" fillId="0" borderId="0" xfId="0" applyNumberFormat="1" applyAlignment="1">
      <alignment horizontal="left"/>
    </xf>
    <xf numFmtId="182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karan.malhotra@company.com" TargetMode="External"/><Relationship Id="rId8" Type="http://schemas.openxmlformats.org/officeDocument/2006/relationships/hyperlink" Target="mailto:meera.Iyer@company.com" TargetMode="External"/><Relationship Id="rId7" Type="http://schemas.openxmlformats.org/officeDocument/2006/relationships/hyperlink" Target="mailto:arjun.reddy@company.com" TargetMode="External"/><Relationship Id="rId6" Type="http://schemas.openxmlformats.org/officeDocument/2006/relationships/hyperlink" Target="mailto:pooja.nair@company.com" TargetMode="External"/><Relationship Id="rId5" Type="http://schemas.openxmlformats.org/officeDocument/2006/relationships/hyperlink" Target="mailto:vikram.joshi@company.com" TargetMode="External"/><Relationship Id="rId4" Type="http://schemas.openxmlformats.org/officeDocument/2006/relationships/hyperlink" Target="mailto:sneha.patel@company.com" TargetMode="External"/><Relationship Id="rId3" Type="http://schemas.openxmlformats.org/officeDocument/2006/relationships/hyperlink" Target="mailto:rahul.singh@company.com" TargetMode="External"/><Relationship Id="rId2" Type="http://schemas.openxmlformats.org/officeDocument/2006/relationships/hyperlink" Target="mailto:priya.verma@company.com" TargetMode="External"/><Relationship Id="rId13" Type="http://schemas.openxmlformats.org/officeDocument/2006/relationships/hyperlink" Target="mailto:sandesh.Ramteke@company.com" TargetMode="External"/><Relationship Id="rId12" Type="http://schemas.openxmlformats.org/officeDocument/2006/relationships/hyperlink" Target="mailto:suyesh.kakade@company.com" TargetMode="External"/><Relationship Id="rId11" Type="http://schemas.openxmlformats.org/officeDocument/2006/relationships/hyperlink" Target="mailto:jayesh.nagpure@company.com" TargetMode="External"/><Relationship Id="rId10" Type="http://schemas.openxmlformats.org/officeDocument/2006/relationships/hyperlink" Target="mailto:anjali.desai@company.com" TargetMode="External"/><Relationship Id="rId1" Type="http://schemas.openxmlformats.org/officeDocument/2006/relationships/hyperlink" Target="mailto:amit.sha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2"/>
  <sheetViews>
    <sheetView tabSelected="1" workbookViewId="0">
      <selection activeCell="S20" sqref="S20"/>
    </sheetView>
  </sheetViews>
  <sheetFormatPr defaultColWidth="9" defaultRowHeight="14.4"/>
  <cols>
    <col min="13" max="13" width="10.5555555555556" customWidth="1"/>
    <col min="14" max="14" width="16.6666666666667" customWidth="1"/>
  </cols>
  <sheetData>
    <row r="1" spans="1:19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9" t="s">
        <v>10</v>
      </c>
      <c r="M1" s="30" t="s">
        <v>11</v>
      </c>
      <c r="N1" s="29"/>
    </row>
    <row r="2" spans="1:19">
      <c r="A2" s="31" t="s">
        <v>12</v>
      </c>
      <c r="B2" s="31" t="s">
        <v>13</v>
      </c>
      <c r="C2" s="31">
        <v>78</v>
      </c>
      <c r="D2" s="31">
        <v>89</v>
      </c>
      <c r="E2" s="31">
        <v>56</v>
      </c>
      <c r="F2" s="31">
        <v>81</v>
      </c>
      <c r="G2" s="31">
        <v>92</v>
      </c>
      <c r="H2" s="31">
        <v>83</v>
      </c>
      <c r="I2" s="31">
        <v>97</v>
      </c>
      <c r="J2" s="31">
        <v>91</v>
      </c>
      <c r="K2" s="31">
        <f>SUM(C2:J2)</f>
        <v>667</v>
      </c>
      <c r="M2" s="27" t="s">
        <v>0</v>
      </c>
      <c r="N2" s="27" t="s">
        <v>14</v>
      </c>
    </row>
    <row r="3" spans="1:19">
      <c r="A3" s="31" t="s">
        <v>15</v>
      </c>
      <c r="B3" s="31" t="s">
        <v>13</v>
      </c>
      <c r="C3" s="31">
        <v>89</v>
      </c>
      <c r="D3" s="31">
        <v>43</v>
      </c>
      <c r="E3" s="31">
        <v>40</v>
      </c>
      <c r="F3" s="31">
        <v>59</v>
      </c>
      <c r="G3" s="31">
        <v>61</v>
      </c>
      <c r="H3" s="31">
        <v>79</v>
      </c>
      <c r="I3" s="31">
        <v>82</v>
      </c>
      <c r="J3" s="31">
        <v>71</v>
      </c>
      <c r="K3" s="31">
        <f t="shared" ref="K3:K9" si="0">SUM(C3:J3)</f>
        <v>524</v>
      </c>
      <c r="M3" s="27" t="s">
        <v>15</v>
      </c>
      <c r="N3" s="32">
        <f>VLOOKUP(M3,A2:K9,11,0)</f>
        <v>524</v>
      </c>
      <c r="O3" t="s">
        <v>12</v>
      </c>
      <c r="P3">
        <f>VLOOKUP(O3,A2:K9,11,FALSE)</f>
        <v>667</v>
      </c>
      <c r="R3" t="s">
        <v>16</v>
      </c>
      <c r="S3">
        <f>VLOOKUP(R3,A2:K9,11,FALSE)</f>
        <v>492</v>
      </c>
    </row>
    <row r="4" spans="1:19">
      <c r="A4" s="31" t="s">
        <v>16</v>
      </c>
      <c r="B4" s="31" t="s">
        <v>13</v>
      </c>
      <c r="C4" s="31">
        <v>76</v>
      </c>
      <c r="D4" s="31">
        <v>44</v>
      </c>
      <c r="E4" s="31">
        <v>41</v>
      </c>
      <c r="F4" s="31">
        <v>58</v>
      </c>
      <c r="G4" s="31">
        <v>62</v>
      </c>
      <c r="H4" s="31">
        <v>78</v>
      </c>
      <c r="I4" s="31">
        <v>84</v>
      </c>
      <c r="J4" s="31">
        <v>49</v>
      </c>
      <c r="K4" s="31">
        <f t="shared" si="0"/>
        <v>492</v>
      </c>
    </row>
    <row r="5" spans="1:19">
      <c r="A5" s="31" t="s">
        <v>17</v>
      </c>
      <c r="B5" s="31" t="s">
        <v>13</v>
      </c>
      <c r="C5" s="31">
        <v>45</v>
      </c>
      <c r="D5" s="31">
        <v>81</v>
      </c>
      <c r="E5" s="31">
        <v>42</v>
      </c>
      <c r="F5" s="31">
        <v>54</v>
      </c>
      <c r="G5" s="31">
        <v>63</v>
      </c>
      <c r="H5" s="31">
        <v>76</v>
      </c>
      <c r="I5" s="31">
        <v>85</v>
      </c>
      <c r="J5" s="31">
        <v>50</v>
      </c>
      <c r="K5" s="31">
        <f t="shared" si="0"/>
        <v>496</v>
      </c>
    </row>
    <row r="6" spans="1:19">
      <c r="A6" s="31" t="s">
        <v>18</v>
      </c>
      <c r="B6" s="31" t="s">
        <v>13</v>
      </c>
      <c r="C6" s="31">
        <v>92</v>
      </c>
      <c r="D6" s="31">
        <v>83</v>
      </c>
      <c r="E6" s="31">
        <v>43</v>
      </c>
      <c r="F6" s="31">
        <v>53</v>
      </c>
      <c r="G6" s="31">
        <v>64</v>
      </c>
      <c r="H6" s="31">
        <v>74</v>
      </c>
      <c r="I6" s="31">
        <v>86</v>
      </c>
      <c r="J6" s="31">
        <v>89</v>
      </c>
      <c r="K6" s="31">
        <f t="shared" si="0"/>
        <v>584</v>
      </c>
      <c r="M6" s="33" t="s">
        <v>19</v>
      </c>
      <c r="N6" s="33"/>
    </row>
    <row r="7" spans="1:19">
      <c r="A7" s="31" t="s">
        <v>20</v>
      </c>
      <c r="B7" s="31" t="s">
        <v>13</v>
      </c>
      <c r="C7" s="31">
        <v>49</v>
      </c>
      <c r="D7" s="31">
        <v>85</v>
      </c>
      <c r="E7" s="31">
        <v>45</v>
      </c>
      <c r="F7" s="31">
        <v>52</v>
      </c>
      <c r="G7" s="31">
        <v>67</v>
      </c>
      <c r="H7" s="31">
        <v>73</v>
      </c>
      <c r="I7" s="31">
        <v>89</v>
      </c>
      <c r="J7" s="31">
        <v>81</v>
      </c>
      <c r="K7" s="31">
        <f t="shared" si="0"/>
        <v>541</v>
      </c>
      <c r="M7" s="27" t="s">
        <v>21</v>
      </c>
      <c r="N7" s="27" t="s">
        <v>10</v>
      </c>
    </row>
    <row r="8" spans="1:19">
      <c r="A8" s="31" t="s">
        <v>22</v>
      </c>
      <c r="B8" s="31" t="s">
        <v>13</v>
      </c>
      <c r="C8" s="31">
        <v>48</v>
      </c>
      <c r="D8" s="31">
        <v>86</v>
      </c>
      <c r="E8" s="31">
        <v>46</v>
      </c>
      <c r="F8" s="31">
        <v>51</v>
      </c>
      <c r="G8" s="31">
        <v>68</v>
      </c>
      <c r="H8" s="31">
        <v>72</v>
      </c>
      <c r="I8" s="31">
        <v>91</v>
      </c>
      <c r="J8" s="31">
        <v>86</v>
      </c>
      <c r="K8" s="31">
        <f t="shared" si="0"/>
        <v>548</v>
      </c>
      <c r="M8" s="27" t="s">
        <v>3</v>
      </c>
      <c r="N8" s="32">
        <f>HLOOKUP(M8,A1:K9,3,0)</f>
        <v>43</v>
      </c>
      <c r="O8" t="s">
        <v>6</v>
      </c>
      <c r="P8">
        <f>HLOOKUP(O8,A1:K9,2,FALSE)</f>
        <v>92</v>
      </c>
      <c r="R8" s="28" t="s">
        <v>5</v>
      </c>
      <c r="S8">
        <f>HLOOKUP(R8,A1:K9,3,FALSE)</f>
        <v>59</v>
      </c>
    </row>
    <row r="9" spans="1:19">
      <c r="A9" s="31" t="s">
        <v>23</v>
      </c>
      <c r="B9" s="31" t="s">
        <v>13</v>
      </c>
      <c r="C9" s="31">
        <v>47</v>
      </c>
      <c r="D9" s="31">
        <v>87</v>
      </c>
      <c r="E9" s="31">
        <v>47</v>
      </c>
      <c r="F9" s="31">
        <v>48</v>
      </c>
      <c r="G9" s="31">
        <v>69</v>
      </c>
      <c r="H9" s="31">
        <v>71</v>
      </c>
      <c r="I9" s="31">
        <v>92</v>
      </c>
      <c r="J9" s="31">
        <v>93</v>
      </c>
      <c r="K9" s="31">
        <f t="shared" si="0"/>
        <v>554</v>
      </c>
    </row>
    <row r="10" spans="1:19">
      <c r="M10" s="27" t="s">
        <v>24</v>
      </c>
      <c r="N10" s="27"/>
    </row>
    <row r="11" spans="1:19">
      <c r="M11" s="27" t="s">
        <v>0</v>
      </c>
      <c r="N11" s="27" t="s">
        <v>25</v>
      </c>
    </row>
    <row r="12" spans="1:19">
      <c r="M12" s="31" t="s">
        <v>22</v>
      </c>
      <c r="N12" s="32">
        <f>_xlfn.XLOOKUP(M12,A1:A9,I1:I9,DNF,0)</f>
        <v>91</v>
      </c>
      <c r="O12" t="s">
        <v>18</v>
      </c>
      <c r="P12">
        <f>_xlfn.XLOOKUP(O12,A1:A9,I1:I9,DNF,0)</f>
        <v>86</v>
      </c>
      <c r="R12" t="s">
        <v>23</v>
      </c>
      <c r="S12">
        <f>_xlfn.XLOOKUP(R12,A2:A9,I2:I9,0)</f>
        <v>92</v>
      </c>
    </row>
  </sheetData>
  <mergeCells count="3">
    <mergeCell ref="M1:N1"/>
    <mergeCell ref="M6:N6"/>
    <mergeCell ref="M10:N10"/>
  </mergeCells>
  <dataValidations count="2">
    <dataValidation type="list" allowBlank="1" showInputMessage="1" showErrorMessage="1" sqref="M3">
      <formula1>$A$2:$A$9</formula1>
    </dataValidation>
    <dataValidation type="list" allowBlank="1" showInputMessage="1" showErrorMessage="1" sqref="M8">
      <formula1>$A$1:$K$1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59"/>
  <sheetViews>
    <sheetView topLeftCell="A37" workbookViewId="0">
      <selection activeCell="K40" sqref="K40"/>
    </sheetView>
  </sheetViews>
  <sheetFormatPr defaultColWidth="9" defaultRowHeight="14.4"/>
  <cols>
    <col min="1" max="1" width="15.6666666666667" customWidth="1"/>
    <col min="2" max="2" width="14.2222222222222" customWidth="1"/>
    <col min="3" max="3" width="19.7777777777778" customWidth="1"/>
    <col min="4" max="4" width="31.7777777777778" customWidth="1"/>
    <col min="5" max="5" width="15.2222222222222" customWidth="1"/>
    <col min="6" max="6" width="18.5555555555556" customWidth="1"/>
    <col min="7" max="7" width="17.3333333333333" customWidth="1"/>
    <col min="8" max="8" width="17.4444444444444" customWidth="1"/>
    <col min="9" max="9" width="29.1111111111111" customWidth="1"/>
    <col min="10" max="10" width="17.2222222222222" customWidth="1"/>
    <col min="11" max="11" width="8.66666666666667" customWidth="1"/>
    <col min="12" max="12" width="11.4444444444444" customWidth="1"/>
    <col min="13" max="13" width="14.2222222222222" customWidth="1"/>
  </cols>
  <sheetData>
    <row r="1" spans="1:1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</row>
    <row r="2" spans="1:13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7">
        <v>44576</v>
      </c>
      <c r="H2" s="6">
        <v>45000</v>
      </c>
      <c r="I2" s="8" t="s">
        <v>45</v>
      </c>
      <c r="J2" s="6">
        <v>9881976905</v>
      </c>
      <c r="K2" s="6" t="s">
        <v>46</v>
      </c>
      <c r="L2" s="9" t="s">
        <v>47</v>
      </c>
      <c r="M2" s="9" t="s">
        <v>48</v>
      </c>
    </row>
    <row r="3" spans="1:13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7">
        <v>44265</v>
      </c>
      <c r="H3" s="6">
        <v>52000</v>
      </c>
      <c r="I3" s="8" t="s">
        <v>55</v>
      </c>
      <c r="J3" s="6">
        <v>9881976909</v>
      </c>
      <c r="K3" s="6" t="s">
        <v>56</v>
      </c>
      <c r="L3" s="9" t="s">
        <v>47</v>
      </c>
      <c r="M3" s="9" t="s">
        <v>57</v>
      </c>
    </row>
    <row r="4" spans="1:13">
      <c r="A4" s="6" t="s">
        <v>58</v>
      </c>
      <c r="B4" s="6" t="s">
        <v>59</v>
      </c>
      <c r="C4" s="6" t="s">
        <v>60</v>
      </c>
      <c r="D4" s="6" t="s">
        <v>42</v>
      </c>
      <c r="E4" s="6" t="s">
        <v>61</v>
      </c>
      <c r="F4" s="6" t="s">
        <v>62</v>
      </c>
      <c r="G4" s="7">
        <v>45112</v>
      </c>
      <c r="H4" s="6">
        <v>68000</v>
      </c>
      <c r="I4" s="8" t="s">
        <v>63</v>
      </c>
      <c r="J4" s="6">
        <v>9881976901</v>
      </c>
      <c r="K4" s="6" t="s">
        <v>64</v>
      </c>
      <c r="L4" s="9" t="s">
        <v>47</v>
      </c>
      <c r="M4" s="9" t="s">
        <v>65</v>
      </c>
    </row>
    <row r="5" spans="1:13">
      <c r="A5" s="6" t="s">
        <v>66</v>
      </c>
      <c r="B5" s="6" t="s">
        <v>67</v>
      </c>
      <c r="C5" s="6" t="s">
        <v>68</v>
      </c>
      <c r="D5" s="6" t="s">
        <v>52</v>
      </c>
      <c r="E5" s="6" t="s">
        <v>69</v>
      </c>
      <c r="F5" s="6" t="s">
        <v>70</v>
      </c>
      <c r="G5" s="7">
        <v>44793</v>
      </c>
      <c r="H5" s="6">
        <v>48000</v>
      </c>
      <c r="I5" s="8" t="s">
        <v>71</v>
      </c>
      <c r="J5" s="6">
        <v>9881976903</v>
      </c>
      <c r="K5" s="6" t="s">
        <v>72</v>
      </c>
      <c r="L5" s="9" t="s">
        <v>47</v>
      </c>
      <c r="M5" s="9" t="s">
        <v>73</v>
      </c>
    </row>
    <row r="6" spans="1:13">
      <c r="A6" s="6" t="s">
        <v>74</v>
      </c>
      <c r="B6" s="6" t="s">
        <v>75</v>
      </c>
      <c r="C6" s="6" t="s">
        <v>76</v>
      </c>
      <c r="D6" s="6" t="s">
        <v>42</v>
      </c>
      <c r="E6" s="6" t="s">
        <v>77</v>
      </c>
      <c r="F6" s="6" t="s">
        <v>78</v>
      </c>
      <c r="G6" s="7">
        <v>44883</v>
      </c>
      <c r="H6" s="6">
        <v>55000</v>
      </c>
      <c r="I6" s="8" t="s">
        <v>79</v>
      </c>
      <c r="J6" s="6">
        <v>9881976904</v>
      </c>
      <c r="K6" s="6" t="s">
        <v>80</v>
      </c>
      <c r="L6" s="9" t="s">
        <v>47</v>
      </c>
      <c r="M6" s="9" t="s">
        <v>81</v>
      </c>
    </row>
    <row r="7" spans="1:13">
      <c r="A7" s="6" t="s">
        <v>82</v>
      </c>
      <c r="B7" s="6" t="s">
        <v>83</v>
      </c>
      <c r="C7" s="6" t="s">
        <v>84</v>
      </c>
      <c r="D7" s="6" t="s">
        <v>52</v>
      </c>
      <c r="E7" s="6" t="s">
        <v>61</v>
      </c>
      <c r="F7" s="6" t="s">
        <v>85</v>
      </c>
      <c r="G7" s="7">
        <v>44605</v>
      </c>
      <c r="H7" s="6">
        <v>60000</v>
      </c>
      <c r="I7" s="8" t="s">
        <v>86</v>
      </c>
      <c r="J7" s="6">
        <v>9881976105</v>
      </c>
      <c r="K7" s="6" t="s">
        <v>87</v>
      </c>
      <c r="L7" s="9" t="s">
        <v>47</v>
      </c>
      <c r="M7" s="9" t="s">
        <v>88</v>
      </c>
    </row>
    <row r="8" spans="1:13">
      <c r="A8" s="6" t="s">
        <v>89</v>
      </c>
      <c r="B8" s="6" t="s">
        <v>90</v>
      </c>
      <c r="C8" s="6" t="s">
        <v>91</v>
      </c>
      <c r="D8" s="6" t="s">
        <v>42</v>
      </c>
      <c r="E8" s="6" t="s">
        <v>92</v>
      </c>
      <c r="F8" s="6" t="s">
        <v>93</v>
      </c>
      <c r="G8" s="7">
        <v>43739</v>
      </c>
      <c r="H8" s="6">
        <v>85000</v>
      </c>
      <c r="I8" s="8" t="s">
        <v>94</v>
      </c>
      <c r="J8" s="6">
        <v>9881976205</v>
      </c>
      <c r="K8" s="6" t="s">
        <v>95</v>
      </c>
      <c r="L8" s="9" t="s">
        <v>47</v>
      </c>
      <c r="M8" s="9" t="s">
        <v>96</v>
      </c>
    </row>
    <row r="9" spans="1:13">
      <c r="A9" s="6" t="s">
        <v>97</v>
      </c>
      <c r="B9" s="6" t="s">
        <v>98</v>
      </c>
      <c r="C9" s="6" t="s">
        <v>99</v>
      </c>
      <c r="D9" s="6" t="s">
        <v>52</v>
      </c>
      <c r="E9" s="6" t="s">
        <v>53</v>
      </c>
      <c r="F9" s="6" t="s">
        <v>100</v>
      </c>
      <c r="G9" s="7">
        <v>44706</v>
      </c>
      <c r="H9" s="6">
        <v>62000</v>
      </c>
      <c r="I9" s="8" t="s">
        <v>101</v>
      </c>
      <c r="J9" s="6">
        <v>9881976305</v>
      </c>
      <c r="K9" s="6" t="s">
        <v>102</v>
      </c>
      <c r="L9" s="9" t="s">
        <v>47</v>
      </c>
      <c r="M9" s="9" t="s">
        <v>103</v>
      </c>
    </row>
    <row r="10" spans="1:13">
      <c r="A10" s="6" t="s">
        <v>104</v>
      </c>
      <c r="B10" s="6" t="s">
        <v>105</v>
      </c>
      <c r="C10" s="6" t="s">
        <v>106</v>
      </c>
      <c r="D10" s="6" t="s">
        <v>42</v>
      </c>
      <c r="E10" s="6" t="s">
        <v>61</v>
      </c>
      <c r="F10" s="6" t="s">
        <v>107</v>
      </c>
      <c r="G10" s="7">
        <v>44300</v>
      </c>
      <c r="H10" s="6">
        <v>58000</v>
      </c>
      <c r="I10" s="8" t="s">
        <v>108</v>
      </c>
      <c r="J10" s="6">
        <v>9881976915</v>
      </c>
      <c r="K10" s="6" t="s">
        <v>109</v>
      </c>
      <c r="L10" s="9" t="s">
        <v>47</v>
      </c>
      <c r="M10" s="9" t="s">
        <v>110</v>
      </c>
    </row>
    <row r="11" spans="1:13">
      <c r="A11" s="6" t="s">
        <v>111</v>
      </c>
      <c r="B11" s="6" t="s">
        <v>112</v>
      </c>
      <c r="C11" s="6" t="s">
        <v>113</v>
      </c>
      <c r="D11" s="6" t="s">
        <v>52</v>
      </c>
      <c r="E11" s="6" t="s">
        <v>43</v>
      </c>
      <c r="F11" s="6" t="s">
        <v>114</v>
      </c>
      <c r="G11" s="7">
        <v>45107</v>
      </c>
      <c r="H11" s="6">
        <v>47000</v>
      </c>
      <c r="I11" s="8" t="s">
        <v>115</v>
      </c>
      <c r="J11" s="6">
        <v>9881976975</v>
      </c>
      <c r="K11" s="6" t="s">
        <v>116</v>
      </c>
      <c r="L11" s="9" t="s">
        <v>47</v>
      </c>
      <c r="M11" s="9" t="s">
        <v>117</v>
      </c>
    </row>
    <row r="12" spans="1:13">
      <c r="A12" s="6" t="s">
        <v>118</v>
      </c>
      <c r="B12" s="6" t="s">
        <v>119</v>
      </c>
      <c r="C12" s="6" t="s">
        <v>120</v>
      </c>
      <c r="D12" s="6" t="s">
        <v>42</v>
      </c>
      <c r="E12" s="6" t="s">
        <v>61</v>
      </c>
      <c r="F12" s="6" t="s">
        <v>70</v>
      </c>
      <c r="G12" s="10">
        <v>45546</v>
      </c>
      <c r="H12" s="6">
        <v>75000</v>
      </c>
      <c r="I12" s="8" t="s">
        <v>121</v>
      </c>
      <c r="J12" s="6">
        <v>9882976975</v>
      </c>
      <c r="K12" s="6" t="s">
        <v>122</v>
      </c>
      <c r="L12" s="9" t="s">
        <v>47</v>
      </c>
      <c r="M12" s="9" t="s">
        <v>123</v>
      </c>
    </row>
    <row r="13" spans="1:13">
      <c r="A13" s="6" t="s">
        <v>124</v>
      </c>
      <c r="B13" s="6" t="s">
        <v>125</v>
      </c>
      <c r="C13" s="6" t="s">
        <v>126</v>
      </c>
      <c r="D13" s="6" t="s">
        <v>42</v>
      </c>
      <c r="E13" s="6" t="s">
        <v>43</v>
      </c>
      <c r="F13" s="6" t="s">
        <v>78</v>
      </c>
      <c r="G13" s="10">
        <v>44291</v>
      </c>
      <c r="H13" s="6">
        <v>39210</v>
      </c>
      <c r="I13" s="8" t="s">
        <v>127</v>
      </c>
      <c r="J13" s="6">
        <v>9883976975</v>
      </c>
      <c r="K13" s="11" t="s">
        <v>128</v>
      </c>
      <c r="L13" s="9" t="s">
        <v>47</v>
      </c>
      <c r="M13" s="9" t="s">
        <v>129</v>
      </c>
    </row>
    <row r="14" spans="1:13">
      <c r="A14" s="6" t="s">
        <v>130</v>
      </c>
      <c r="B14" s="6" t="s">
        <v>131</v>
      </c>
      <c r="C14" s="6" t="s">
        <v>132</v>
      </c>
      <c r="D14" s="6" t="s">
        <v>42</v>
      </c>
      <c r="E14" s="6" t="s">
        <v>92</v>
      </c>
      <c r="F14" s="6" t="s">
        <v>85</v>
      </c>
      <c r="G14" s="7">
        <v>45249</v>
      </c>
      <c r="H14" s="6">
        <v>95309</v>
      </c>
      <c r="I14" s="8" t="s">
        <v>133</v>
      </c>
      <c r="J14" s="6">
        <v>9885976975</v>
      </c>
      <c r="K14" s="11" t="s">
        <v>134</v>
      </c>
      <c r="L14" s="9" t="s">
        <v>47</v>
      </c>
      <c r="M14" s="9" t="s">
        <v>135</v>
      </c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F16" s="13"/>
      <c r="I16" s="14"/>
    </row>
    <row r="17" spans="2:9">
      <c r="F17" s="15"/>
      <c r="I17" s="14"/>
    </row>
    <row r="18" spans="2:9">
      <c r="F18" s="13"/>
      <c r="I18" s="14"/>
    </row>
    <row r="20" spans="2:9">
      <c r="D20" s="3" t="s">
        <v>136</v>
      </c>
      <c r="F20" t="s">
        <v>137</v>
      </c>
      <c r="G20" t="s">
        <v>61</v>
      </c>
    </row>
    <row r="21" spans="2:9">
      <c r="G21" t="str">
        <f>_xlfn.XLOOKUP(G20,E2:E14,B2:B14,"DNF",0)</f>
        <v>Rahul</v>
      </c>
      <c r="I21">
        <v>3</v>
      </c>
    </row>
    <row r="22" spans="2:9">
      <c r="I22" t="s">
        <v>93</v>
      </c>
    </row>
    <row r="23" spans="2:9">
      <c r="B23" s="16" t="s">
        <v>138</v>
      </c>
      <c r="F23" s="16"/>
      <c r="G23" s="17"/>
      <c r="H23" s="18">
        <v>4</v>
      </c>
    </row>
    <row r="24" spans="2:9">
      <c r="C24" s="16" t="s">
        <v>139</v>
      </c>
      <c r="D24" s="19" t="s">
        <v>75</v>
      </c>
      <c r="F24" s="16"/>
      <c r="G24" s="17"/>
      <c r="H24" s="18">
        <v>2</v>
      </c>
    </row>
    <row r="25" spans="2:9">
      <c r="C25" s="16" t="s">
        <v>0</v>
      </c>
      <c r="D25" s="17" t="str">
        <f>IF(D20="Employee ID",VLOOKUP(D24,A2:B14,2,FALSE),VLOOKUP(D24,B2:C14,1,FALSE))</f>
        <v>Vikram</v>
      </c>
      <c r="E25" s="17"/>
      <c r="H25" s="18">
        <v>3</v>
      </c>
    </row>
    <row r="26" spans="2:9">
      <c r="C26" s="16" t="s">
        <v>36</v>
      </c>
      <c r="D26" s="17" t="str">
        <f>IF(D20="Employee ID",VLOOKUP(D24,A2:M14,11,FALSE),VLOOKUP(D24,B2:M14,10,FALSE))</f>
        <v>Wardha</v>
      </c>
      <c r="E26" s="17"/>
      <c r="H26" s="18">
        <v>4</v>
      </c>
    </row>
    <row r="27" spans="2:9">
      <c r="C27" s="16" t="s">
        <v>30</v>
      </c>
      <c r="D27" s="17" t="str">
        <f>IF(D20="Employee ID",VLOOKUP(D24,A2:M14,5,FALSE),VLOOKUP(D24,B2:E14,4,FALSE))</f>
        <v>Sales</v>
      </c>
      <c r="E27" s="17"/>
    </row>
    <row r="28" spans="2:9">
      <c r="C28" s="16" t="s">
        <v>33</v>
      </c>
      <c r="D28" s="17">
        <f>IF(D20="Employee ID",VLOOKUP(D24,A2:M14,8,FALSE),VLOOKUP(D24,B2:H14,7,FALSE))</f>
        <v>55000</v>
      </c>
      <c r="E28" s="17"/>
    </row>
    <row r="29" spans="2:9">
      <c r="C29" s="16" t="s">
        <v>31</v>
      </c>
      <c r="D29" s="17" t="str">
        <f>IF(D20="Employee ID",VLOOKUP(D24,A2:M14,6,FALSE),VLOOKUP(D24,B2:F14,5,FALSE))</f>
        <v>Sales Excecutive</v>
      </c>
      <c r="E29" s="17"/>
    </row>
    <row r="30" spans="2:9">
      <c r="C30" s="16" t="s">
        <v>34</v>
      </c>
      <c r="D30" s="17" t="str">
        <f>IF(D20="Employee ID",VLOOKUP(D24,A2:M14,9,FALSE),VLOOKUP(D24,B2:I14,8,FALSE))</f>
        <v>vikram.joshi@company.com</v>
      </c>
      <c r="E30" s="17"/>
      <c r="F30" t="s">
        <v>140</v>
      </c>
    </row>
    <row r="31" spans="2:9">
      <c r="C31" s="16" t="s">
        <v>141</v>
      </c>
      <c r="D31" s="17">
        <f>IF(D20="Employee ID",VLOOKUP(D24,A2:M14,10,FALSE),VLOOKUP(D24,B2:J14,9,FALSE))</f>
        <v>9881976904</v>
      </c>
      <c r="E31" s="17"/>
    </row>
    <row r="32" spans="2:9">
      <c r="C32" s="16" t="s">
        <v>37</v>
      </c>
      <c r="D32" s="17" t="str">
        <f>IF(D20="Employee ID",VLOOKUP(D24,A2:M14,12,FALSE),VLOOKUP(D24,B2:L14,11,FALSE))</f>
        <v>Maharashtra</v>
      </c>
      <c r="E32" s="17"/>
      <c r="G32" t="str">
        <f>_xlfn.XLOOKUP(G33,G2:G14,C2:C14,"DNF",0)</f>
        <v>Desai</v>
      </c>
    </row>
    <row r="33" spans="2:8">
      <c r="C33" s="16" t="s">
        <v>38</v>
      </c>
      <c r="D33" s="17" t="str">
        <f>IF(D20="Employee ID",VLOOKUP(D24,A2:M14,13,FALSE),VLOOKUP(D24,B2:M14,12,FALSE))</f>
        <v>Shubham Bonde</v>
      </c>
      <c r="E33" s="17"/>
      <c r="G33" s="20">
        <v>45107</v>
      </c>
    </row>
    <row r="34" spans="2:8">
      <c r="C34" s="16" t="s">
        <v>142</v>
      </c>
      <c r="D34" s="21">
        <f>IF(D20="Employee ID",VLOOKUP(D24,A2:M14,7,FALSE),VLOOKUP(D24,B2:G14,6,FALSE))</f>
        <v>44883</v>
      </c>
      <c r="G34" s="17"/>
      <c r="H34" s="17"/>
    </row>
    <row r="35" spans="2:8">
      <c r="C35" s="16"/>
      <c r="G35" s="17"/>
      <c r="H35" s="17"/>
    </row>
    <row r="36" spans="2:8">
      <c r="C36" s="16"/>
      <c r="G36" s="17"/>
      <c r="H36" s="17"/>
    </row>
    <row r="37" spans="2:8">
      <c r="G37" s="16" t="s">
        <v>143</v>
      </c>
    </row>
    <row r="38" spans="2:8">
      <c r="B38" s="16" t="s">
        <v>144</v>
      </c>
      <c r="D38" t="s">
        <v>130</v>
      </c>
    </row>
    <row r="39" spans="2:8">
      <c r="C39" s="16" t="s">
        <v>0</v>
      </c>
      <c r="D39" t="str">
        <f>_xlfn.XLOOKUP(D38,A2:A14,B2:B14,"DNF",0)</f>
        <v>Sandesh</v>
      </c>
      <c r="G39" s="16" t="s">
        <v>27</v>
      </c>
      <c r="H39" t="str">
        <f>HLOOKUP(B1,B1:B14,4,0)</f>
        <v>Rahul</v>
      </c>
    </row>
    <row r="40" spans="2:8">
      <c r="C40" s="16" t="s">
        <v>36</v>
      </c>
      <c r="D40" t="str">
        <f>_xlfn.XLOOKUP(D39,B2:B14,K2:K14,"DNF",0)</f>
        <v>Raigad</v>
      </c>
      <c r="G40" s="16" t="s">
        <v>28</v>
      </c>
      <c r="H40" t="str">
        <f>HLOOKUP(C1,A1:C14,4,0)</f>
        <v>Singh</v>
      </c>
    </row>
    <row r="41" spans="2:8">
      <c r="C41" s="16" t="s">
        <v>30</v>
      </c>
      <c r="D41" t="str">
        <f>_xlfn.XLOOKUP(D39,B2:B14,E2:E14,"DNF",0)</f>
        <v>Operations</v>
      </c>
      <c r="G41" s="16" t="s">
        <v>36</v>
      </c>
      <c r="H41" t="str">
        <f>HLOOKUP(K1,A1:K14,4,FALSE)</f>
        <v>Nagpur</v>
      </c>
    </row>
    <row r="42" spans="2:8">
      <c r="C42" s="16" t="s">
        <v>33</v>
      </c>
      <c r="D42" s="22">
        <f>_xlfn.XLOOKUP(D39,B2:B14,H2:H14,"DNF",0)</f>
        <v>95309</v>
      </c>
      <c r="G42" s="16" t="s">
        <v>30</v>
      </c>
      <c r="H42" t="str">
        <f>HLOOKUP(E1,E1:E14,4,FALSE)</f>
        <v>IT</v>
      </c>
    </row>
    <row r="43" spans="2:8">
      <c r="C43" s="16" t="s">
        <v>31</v>
      </c>
      <c r="D43" t="str">
        <f>_xlfn.XLOOKUP(D39,B2:B14,F2:F14,"DNF",0)</f>
        <v>QA Enginner</v>
      </c>
      <c r="G43" s="16" t="s">
        <v>33</v>
      </c>
      <c r="H43" s="22">
        <f>HLOOKUP(H1,H1:H14,4,FALSE)</f>
        <v>68000</v>
      </c>
    </row>
    <row r="44" spans="2:8">
      <c r="C44" s="16" t="s">
        <v>34</v>
      </c>
      <c r="D44" t="str">
        <f>_xlfn.XLOOKUP(D39,B2:B14,I2:I14,"DNF",0)</f>
        <v>sandesh.Ramteke@company.com</v>
      </c>
      <c r="G44" s="16" t="s">
        <v>31</v>
      </c>
      <c r="H44" t="str">
        <f>HLOOKUP(F1,F1:F14,4,FALSE)</f>
        <v>Software Engineer</v>
      </c>
    </row>
    <row r="45" spans="2:8">
      <c r="C45" s="16" t="s">
        <v>141</v>
      </c>
      <c r="D45" s="23">
        <f>_xlfn.XLOOKUP(D39,B2:B14,J2:J14,"DNF",0)</f>
        <v>9885976975</v>
      </c>
      <c r="G45" s="16" t="s">
        <v>145</v>
      </c>
      <c r="H45" s="24">
        <f>HLOOKUP(J1,J1:J14,4,FALSE)</f>
        <v>9881976901</v>
      </c>
    </row>
    <row r="46" spans="2:8">
      <c r="C46" s="16" t="s">
        <v>37</v>
      </c>
      <c r="D46" t="str">
        <f>_xlfn.XLOOKUP(D39,B2:B14,L2:L14,"DNF",0)</f>
        <v>Maharashtra</v>
      </c>
      <c r="G46" s="16" t="s">
        <v>38</v>
      </c>
      <c r="H46" t="str">
        <f>HLOOKUP(M1,M1:M14,4,FALSE)</f>
        <v>Nikesh Lad</v>
      </c>
    </row>
    <row r="47" spans="2:8">
      <c r="C47" s="16" t="s">
        <v>38</v>
      </c>
      <c r="D47" t="str">
        <f>_xlfn.XLOOKUP(D39,B2:B14,M2:M14,"DNF",0)</f>
        <v>Prem Thkare</v>
      </c>
      <c r="G47" s="16" t="s">
        <v>34</v>
      </c>
      <c r="H47" t="str">
        <f>HLOOKUP(I1,I1:I14,4,FALSE)</f>
        <v>rahul.singh@company.com</v>
      </c>
    </row>
    <row r="48" spans="2:8">
      <c r="C48" s="16" t="s">
        <v>142</v>
      </c>
      <c r="D48" s="25">
        <f>_xlfn.XLOOKUP(D39,B2:B14,G2:G14,"DNF",0)</f>
        <v>45249</v>
      </c>
      <c r="G48" s="16" t="s">
        <v>142</v>
      </c>
      <c r="H48" s="25">
        <f>HLOOKUP(G1,G1:G14,4,FALSE)</f>
        <v>45112</v>
      </c>
    </row>
    <row r="50" spans="3:5">
      <c r="E50" s="6"/>
    </row>
    <row r="52" spans="3:5">
      <c r="C52" s="16" t="s">
        <v>146</v>
      </c>
      <c r="D52" t="str">
        <f>INDEX(A1:B14,3,2)</f>
        <v>Priya</v>
      </c>
    </row>
    <row r="53" spans="3:5">
      <c r="C53" s="16" t="s">
        <v>147</v>
      </c>
      <c r="D53" s="6">
        <v>48000</v>
      </c>
      <c r="E53">
        <f>MATCH(D53,H1:H14,0)</f>
        <v>5</v>
      </c>
    </row>
    <row r="56" spans="3:5">
      <c r="C56" s="16" t="s">
        <v>148</v>
      </c>
    </row>
    <row r="58" spans="3:5">
      <c r="C58" s="26" t="s">
        <v>0</v>
      </c>
      <c r="D58" s="26" t="s">
        <v>33</v>
      </c>
    </row>
    <row r="59" spans="3:5">
      <c r="C59" s="27" t="s">
        <v>59</v>
      </c>
      <c r="D59" s="27" cm="1">
        <f t="array" ref="D59">INDEX(H2:H14,MATCH(C59,B2:B14,0))</f>
        <v>68000</v>
      </c>
    </row>
  </sheetData>
  <autoFilter xmlns:etc="http://www.wps.cn/officeDocument/2017/etCustomData" ref="A1:M14" etc:filterBottomFollowUsedRange="0">
    <sortState ref="A1:M14">
      <sortCondition ref="A1:A14"/>
    </sortState>
    <extLst/>
  </autoFilter>
  <mergeCells count="10"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G34:H34"/>
  </mergeCells>
  <dataValidations count="9">
    <dataValidation type="list" allowBlank="1" showInputMessage="1" showErrorMessage="1" sqref="D20">
      <formula1>"Employee ID,Employee Name"</formula1>
    </dataValidation>
    <dataValidation type="list" allowBlank="1" showInputMessage="1" showErrorMessage="1" sqref="I21 H23:H26">
      <formula1>$H$23:$H$26</formula1>
    </dataValidation>
    <dataValidation type="list" allowBlank="1" showInputMessage="1" showErrorMessage="1" sqref="I22">
      <formula1>$F$2:$F$14</formula1>
    </dataValidation>
    <dataValidation type="list" allowBlank="1" showInputMessage="1" showErrorMessage="1" sqref="D24">
      <formula1>IF($D$20="Employee ID",$A$2:$A$14,$B$2:$B$14)</formula1>
    </dataValidation>
    <dataValidation type="list" allowBlank="1" showInputMessage="1" showErrorMessage="1" sqref="H28">
      <formula1>"IF($D$20,""Employee ID"",$A$2:$B$14,$B$2:$B$14)"</formula1>
    </dataValidation>
    <dataValidation type="list" allowBlank="1" showInputMessage="1" showErrorMessage="1" sqref="D38">
      <formula1>$A$2:$A$14</formula1>
    </dataValidation>
    <dataValidation type="list" allowBlank="1" showInputMessage="1" showErrorMessage="1" sqref="C59">
      <formula1>$B$2:$B$14</formula1>
    </dataValidation>
    <dataValidation type="list" allowBlank="1" showInputMessage="1" showErrorMessage="1" sqref="G16:G18">
      <formula1>"Employee ID, Employee Name"</formula1>
    </dataValidation>
    <dataValidation type="list" allowBlank="1" showInputMessage="1" showErrorMessage="1" sqref="G23:G24">
      <formula1>"if($G$15=""Employee ID"",$A$2:$A$11,$B$2:$B$11)"</formula1>
    </dataValidation>
  </dataValidations>
  <hyperlinks>
    <hyperlink ref="I2" r:id="rId1" display="amit.sharma@company.com"/>
    <hyperlink ref="I3" r:id="rId2" display="priya.verma@company.com"/>
    <hyperlink ref="I4" r:id="rId3" display="rahul.singh@company.com"/>
    <hyperlink ref="I5" r:id="rId4" display="sneha.patel@company.com"/>
    <hyperlink ref="I6" r:id="rId5" display="vikram.joshi@company.com"/>
    <hyperlink ref="I7" r:id="rId6" display="pooja.nair@company.com"/>
    <hyperlink ref="I8" r:id="rId7" display="arjun.reddy@company.com"/>
    <hyperlink ref="I9" r:id="rId8" display="meera.Iyer@company.com"/>
    <hyperlink ref="I10" r:id="rId9" display="karan.malhotra@company.com"/>
    <hyperlink ref="I11" r:id="rId10" display="anjali.desai@company.com"/>
    <hyperlink ref="I12" r:id="rId11" display="jayesh.nagpure@company.com"/>
    <hyperlink ref="I13" r:id="rId12" display="suyesh.kakade@company.com"/>
    <hyperlink ref="I14" r:id="rId13" display="sandesh.Ramteke@company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G6:O16"/>
  <sheetViews>
    <sheetView workbookViewId="0">
      <selection activeCell="Q16" sqref="Q16"/>
    </sheetView>
  </sheetViews>
  <sheetFormatPr defaultColWidth="9" defaultRowHeight="14.4"/>
  <sheetData>
    <row r="6" spans="7:15">
      <c r="K6">
        <v>1</v>
      </c>
      <c r="L6">
        <v>2</v>
      </c>
      <c r="M6">
        <v>3</v>
      </c>
      <c r="N6">
        <f>L$6*K6</f>
        <v>2</v>
      </c>
      <c r="O6">
        <f>M$6*K6</f>
        <v>3</v>
      </c>
    </row>
    <row r="7" spans="7:15">
      <c r="K7">
        <v>2</v>
      </c>
      <c r="N7">
        <f t="shared" ref="N7:N15" si="0">L$6*K7</f>
        <v>4</v>
      </c>
      <c r="O7">
        <f t="shared" ref="O7:O15" si="1">M$6*K7</f>
        <v>6</v>
      </c>
    </row>
    <row r="8" spans="7:15">
      <c r="K8">
        <v>3</v>
      </c>
      <c r="N8">
        <f t="shared" si="0"/>
        <v>6</v>
      </c>
      <c r="O8">
        <f t="shared" si="1"/>
        <v>9</v>
      </c>
    </row>
    <row r="9" spans="7:15">
      <c r="K9">
        <v>4</v>
      </c>
      <c r="N9">
        <f t="shared" si="0"/>
        <v>8</v>
      </c>
      <c r="O9">
        <f t="shared" si="1"/>
        <v>12</v>
      </c>
    </row>
    <row r="10" spans="7:15">
      <c r="K10">
        <v>5</v>
      </c>
      <c r="N10">
        <f t="shared" si="0"/>
        <v>10</v>
      </c>
      <c r="O10">
        <f t="shared" si="1"/>
        <v>15</v>
      </c>
    </row>
    <row r="11" spans="7:15">
      <c r="K11">
        <v>6</v>
      </c>
      <c r="N11">
        <f t="shared" si="0"/>
        <v>12</v>
      </c>
      <c r="O11">
        <f t="shared" si="1"/>
        <v>18</v>
      </c>
    </row>
    <row r="12" spans="7:15">
      <c r="K12">
        <v>7</v>
      </c>
      <c r="N12">
        <f t="shared" si="0"/>
        <v>14</v>
      </c>
      <c r="O12">
        <f t="shared" si="1"/>
        <v>21</v>
      </c>
    </row>
    <row r="13" spans="7:15">
      <c r="G13">
        <v>10</v>
      </c>
      <c r="K13">
        <v>8</v>
      </c>
      <c r="N13">
        <f t="shared" si="0"/>
        <v>16</v>
      </c>
      <c r="O13">
        <f t="shared" si="1"/>
        <v>24</v>
      </c>
    </row>
    <row r="14" spans="7:15">
      <c r="G14">
        <v>20</v>
      </c>
      <c r="K14">
        <v>9</v>
      </c>
      <c r="N14">
        <f t="shared" si="0"/>
        <v>18</v>
      </c>
      <c r="O14">
        <f t="shared" si="1"/>
        <v>27</v>
      </c>
    </row>
    <row r="15" spans="7:15">
      <c r="K15">
        <v>10</v>
      </c>
      <c r="N15">
        <f t="shared" si="0"/>
        <v>20</v>
      </c>
      <c r="O15">
        <f t="shared" si="1"/>
        <v>30</v>
      </c>
    </row>
    <row r="16" spans="7:15">
      <c r="G16">
        <f>SUM(G13:G14)</f>
        <v>30</v>
      </c>
      <c r="J16">
        <f>SUM(J13:J14)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21"/>
  <sheetViews>
    <sheetView workbookViewId="0">
      <selection activeCell="G14" sqref="G14"/>
    </sheetView>
  </sheetViews>
  <sheetFormatPr defaultColWidth="9" defaultRowHeight="14.4" outlineLevelCol="4"/>
  <cols>
    <col min="1" max="1" width="12.4444444444444" customWidth="1"/>
  </cols>
  <sheetData>
    <row r="1" spans="1: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</row>
    <row r="2" spans="1:5">
      <c r="A2" s="2" t="s">
        <v>154</v>
      </c>
      <c r="B2" s="2" t="str">
        <f>VLOOKUP(A2,A14:B21,2,FALSE)</f>
        <v>$12,000</v>
      </c>
      <c r="C2" s="2"/>
      <c r="D2" s="2"/>
      <c r="E2" s="2"/>
    </row>
    <row r="3" spans="1:5">
      <c r="A3" s="2" t="s">
        <v>155</v>
      </c>
      <c r="B3" s="2" t="str">
        <f t="shared" ref="B3:B9" si="0">VLOOKUP(A3,A15:B22,2,FALSE)</f>
        <v>$95,000</v>
      </c>
      <c r="C3" s="2"/>
      <c r="D3" s="2"/>
      <c r="E3" s="2"/>
    </row>
    <row r="4" spans="1:5">
      <c r="A4" s="2" t="s">
        <v>156</v>
      </c>
      <c r="B4" s="2" t="str">
        <f t="shared" si="0"/>
        <v>$80,000</v>
      </c>
      <c r="C4" s="2"/>
      <c r="D4" s="2"/>
      <c r="E4" s="2"/>
    </row>
    <row r="5" spans="1:5">
      <c r="A5" s="2" t="s">
        <v>157</v>
      </c>
      <c r="B5" s="2" t="str">
        <f t="shared" si="0"/>
        <v>$60,000</v>
      </c>
      <c r="C5" s="2"/>
      <c r="D5" s="2"/>
      <c r="E5" s="2"/>
    </row>
    <row r="6" spans="1:5">
      <c r="A6" s="2" t="s">
        <v>158</v>
      </c>
      <c r="B6" s="2" t="str">
        <f t="shared" si="0"/>
        <v>$1,50,000</v>
      </c>
      <c r="C6" s="2"/>
      <c r="D6" s="2"/>
      <c r="E6" s="2"/>
    </row>
    <row r="7" spans="1:5">
      <c r="A7" s="2" t="s">
        <v>159</v>
      </c>
      <c r="B7" s="2" t="str">
        <f t="shared" si="0"/>
        <v>$20,000</v>
      </c>
      <c r="C7" s="2"/>
      <c r="D7" s="2"/>
      <c r="E7" s="2"/>
    </row>
    <row r="8" spans="1:5">
      <c r="A8" s="2" t="s">
        <v>160</v>
      </c>
      <c r="B8" s="2" t="str">
        <f t="shared" si="0"/>
        <v>$98760</v>
      </c>
      <c r="C8" s="2"/>
      <c r="D8" s="2"/>
      <c r="E8" s="2"/>
    </row>
    <row r="9" spans="1:5">
      <c r="A9" s="2" t="s">
        <v>161</v>
      </c>
      <c r="B9" s="2" t="str">
        <f t="shared" si="0"/>
        <v>$32890</v>
      </c>
      <c r="C9" s="2"/>
      <c r="D9" s="2"/>
      <c r="E9" s="2"/>
    </row>
    <row r="13" spans="1:5">
      <c r="A13" s="3" t="s">
        <v>149</v>
      </c>
      <c r="B13" s="3" t="s">
        <v>150</v>
      </c>
    </row>
    <row r="14" spans="1:5">
      <c r="A14" s="4" t="s">
        <v>154</v>
      </c>
      <c r="B14" s="4" t="s">
        <v>162</v>
      </c>
    </row>
    <row r="15" spans="1:5">
      <c r="A15" s="4" t="s">
        <v>155</v>
      </c>
      <c r="B15" s="4" t="s">
        <v>163</v>
      </c>
    </row>
    <row r="16" spans="1:5">
      <c r="A16" s="4" t="s">
        <v>156</v>
      </c>
      <c r="B16" s="4" t="s">
        <v>164</v>
      </c>
    </row>
    <row r="17" spans="1:2">
      <c r="A17" s="4" t="s">
        <v>157</v>
      </c>
      <c r="B17" s="4" t="s">
        <v>165</v>
      </c>
    </row>
    <row r="18" spans="1:2">
      <c r="A18" s="4" t="s">
        <v>158</v>
      </c>
      <c r="B18" s="4" t="s">
        <v>166</v>
      </c>
    </row>
    <row r="19" spans="1:2">
      <c r="A19" s="4" t="s">
        <v>159</v>
      </c>
      <c r="B19" s="4" t="s">
        <v>167</v>
      </c>
    </row>
    <row r="20" spans="1:2">
      <c r="A20" s="4" t="s">
        <v>160</v>
      </c>
      <c r="B20" s="4" t="s">
        <v>168</v>
      </c>
    </row>
    <row r="21" spans="1:2">
      <c r="A21" s="4" t="s">
        <v>161</v>
      </c>
      <c r="B21" s="4" t="s">
        <v>169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8"/>
  <sheetViews>
    <sheetView workbookViewId="0">
      <selection activeCell="I15" sqref="I15"/>
    </sheetView>
  </sheetViews>
  <sheetFormatPr defaultColWidth="9" defaultRowHeight="14.4" outlineLevelRow="7" outlineLevelCol="5"/>
  <sheetData>
    <row r="1" spans="1:6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 spans="1:6">
      <c r="A2" t="s">
        <v>0</v>
      </c>
      <c r="B2" t="s">
        <v>40</v>
      </c>
      <c r="C2" t="s">
        <v>176</v>
      </c>
      <c r="D2" t="s">
        <v>177</v>
      </c>
      <c r="E2" t="s">
        <v>178</v>
      </c>
      <c r="F2" t="s">
        <v>179</v>
      </c>
    </row>
    <row r="3" spans="1:6">
      <c r="A3" t="s">
        <v>33</v>
      </c>
      <c r="B3">
        <v>65000</v>
      </c>
      <c r="C3">
        <v>54000</v>
      </c>
      <c r="D3">
        <v>75000</v>
      </c>
      <c r="E3">
        <v>74000</v>
      </c>
      <c r="F3">
        <v>98000</v>
      </c>
    </row>
    <row r="7" spans="1:6">
      <c r="C7" t="s">
        <v>0</v>
      </c>
      <c r="D7" t="str">
        <f>HLOOKUP(D1,A1:F3,2,FALSE)</f>
        <v>Rajesh</v>
      </c>
    </row>
    <row r="8" spans="1:6">
      <c r="C8" t="s">
        <v>33</v>
      </c>
      <c r="D8">
        <f>HLOOKUP(D1,A1:F3,3,FALSE)</f>
        <v>75000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V,H &amp;X Lookup (1)</vt:lpstr>
      <vt:lpstr>V,H &amp; X Lookup (2)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saurabh77yeole@outlook.com</dc:creator>
  <cp:lastModifiedBy>Saurabh Yeole</cp:lastModifiedBy>
  <dcterms:created xsi:type="dcterms:W3CDTF">2026-07-31T10:57:00Z</dcterms:created>
  <dcterms:modified xsi:type="dcterms:W3CDTF">2026-09-28T08:05:04Z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F7BF485319B3424081514D7A9533B306_12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